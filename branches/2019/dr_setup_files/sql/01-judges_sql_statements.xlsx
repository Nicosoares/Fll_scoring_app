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20115" windowHeight="8445"/>
  </bookViews>
  <sheets>
    <sheet name="INSERT" sheetId="1" r:id="rId1"/>
    <sheet name="UPDATE" sheetId="2" r:id="rId2"/>
    <sheet name="DELETE" sheetId="3" r:id="rId3"/>
    <sheet name="SELECT" sheetId="4" r:id="rId4"/>
  </sheets>
  <calcPr calcId="144525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C2" i="4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19" i="3" l="1"/>
  <c r="C19" i="3"/>
  <c r="B19" i="3"/>
  <c r="A19" i="3"/>
  <c r="E19" i="3" s="1"/>
  <c r="D18" i="3"/>
  <c r="C18" i="3"/>
  <c r="B18" i="3"/>
  <c r="A18" i="3"/>
  <c r="E18" i="3" s="1"/>
  <c r="D17" i="3"/>
  <c r="C17" i="3"/>
  <c r="B17" i="3"/>
  <c r="A17" i="3"/>
  <c r="E17" i="3" s="1"/>
  <c r="D16" i="3"/>
  <c r="C16" i="3"/>
  <c r="B16" i="3"/>
  <c r="A16" i="3"/>
  <c r="E16" i="3" s="1"/>
  <c r="D15" i="3"/>
  <c r="C15" i="3"/>
  <c r="B15" i="3"/>
  <c r="A15" i="3"/>
  <c r="E15" i="3" s="1"/>
  <c r="D14" i="3"/>
  <c r="C14" i="3"/>
  <c r="B14" i="3"/>
  <c r="A14" i="3"/>
  <c r="E14" i="3" s="1"/>
  <c r="D13" i="3"/>
  <c r="C13" i="3"/>
  <c r="B13" i="3"/>
  <c r="A13" i="3"/>
  <c r="E13" i="3" s="1"/>
  <c r="D12" i="3"/>
  <c r="C12" i="3"/>
  <c r="B12" i="3"/>
  <c r="A12" i="3"/>
  <c r="E12" i="3" s="1"/>
  <c r="D11" i="3"/>
  <c r="C11" i="3"/>
  <c r="B11" i="3"/>
  <c r="A11" i="3"/>
  <c r="E11" i="3" s="1"/>
  <c r="D10" i="3"/>
  <c r="C10" i="3"/>
  <c r="B10" i="3"/>
  <c r="A10" i="3"/>
  <c r="E10" i="3" s="1"/>
  <c r="D9" i="3"/>
  <c r="C9" i="3"/>
  <c r="B9" i="3"/>
  <c r="A9" i="3"/>
  <c r="E9" i="3" s="1"/>
  <c r="D8" i="3"/>
  <c r="C8" i="3"/>
  <c r="B8" i="3"/>
  <c r="A8" i="3"/>
  <c r="E8" i="3" s="1"/>
  <c r="D7" i="3"/>
  <c r="C7" i="3"/>
  <c r="B7" i="3"/>
  <c r="A7" i="3"/>
  <c r="E7" i="3" s="1"/>
  <c r="D6" i="3"/>
  <c r="C6" i="3"/>
  <c r="B6" i="3"/>
  <c r="A6" i="3"/>
  <c r="E6" i="3" s="1"/>
  <c r="D19" i="2"/>
  <c r="C19" i="2"/>
  <c r="B19" i="2"/>
  <c r="A19" i="2"/>
  <c r="D18" i="2"/>
  <c r="C18" i="2"/>
  <c r="E18" i="2" s="1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E14" i="2" s="1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E10" i="2" s="1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E6" i="2" s="1"/>
  <c r="B6" i="2"/>
  <c r="A6" i="2"/>
  <c r="E3" i="3"/>
  <c r="E4" i="3"/>
  <c r="E5" i="3"/>
  <c r="E2" i="3"/>
  <c r="D5" i="3"/>
  <c r="D4" i="3"/>
  <c r="D3" i="3"/>
  <c r="D2" i="3"/>
  <c r="D1" i="3"/>
  <c r="C1" i="3"/>
  <c r="B1" i="3"/>
  <c r="A1" i="3"/>
  <c r="D3" i="2"/>
  <c r="D4" i="2"/>
  <c r="D5" i="2"/>
  <c r="D2" i="2"/>
  <c r="D1" i="2"/>
  <c r="C1" i="2"/>
  <c r="B1" i="2"/>
  <c r="A1" i="2"/>
  <c r="E8" i="2" l="1"/>
  <c r="E12" i="2"/>
  <c r="E16" i="2"/>
  <c r="E7" i="2"/>
  <c r="E11" i="2"/>
  <c r="E15" i="2"/>
  <c r="E19" i="2"/>
  <c r="E9" i="2"/>
  <c r="E13" i="2"/>
  <c r="E17" i="2"/>
  <c r="C5" i="3"/>
  <c r="B5" i="3"/>
  <c r="A5" i="3"/>
  <c r="C4" i="3"/>
  <c r="B4" i="3"/>
  <c r="A4" i="3"/>
  <c r="C3" i="3"/>
  <c r="B3" i="3"/>
  <c r="A3" i="3"/>
  <c r="C2" i="3"/>
  <c r="B2" i="3"/>
  <c r="A2" i="3"/>
  <c r="A3" i="2"/>
  <c r="B3" i="2"/>
  <c r="C3" i="2"/>
  <c r="E3" i="2" s="1"/>
  <c r="A4" i="2"/>
  <c r="B4" i="2"/>
  <c r="C4" i="2"/>
  <c r="E4" i="2" s="1"/>
  <c r="A5" i="2"/>
  <c r="B5" i="2"/>
  <c r="C5" i="2"/>
  <c r="E5" i="2" s="1"/>
  <c r="C2" i="2"/>
  <c r="E2" i="2" s="1"/>
  <c r="B2" i="2"/>
  <c r="A2" i="2"/>
</calcChain>
</file>

<file path=xl/sharedStrings.xml><?xml version="1.0" encoding="utf-8"?>
<sst xmlns="http://schemas.openxmlformats.org/spreadsheetml/2006/main" count="65" uniqueCount="26">
  <si>
    <t>INSERT</t>
  </si>
  <si>
    <t>DELETE</t>
  </si>
  <si>
    <t>UPDATE</t>
  </si>
  <si>
    <t>SELECT</t>
  </si>
  <si>
    <t>TABLE_NAME</t>
  </si>
  <si>
    <t>judges</t>
  </si>
  <si>
    <t>id</t>
  </si>
  <si>
    <t>category</t>
  </si>
  <si>
    <t>tournament</t>
  </si>
  <si>
    <t>station</t>
  </si>
  <si>
    <t>JUECES SALÓN 1</t>
  </si>
  <si>
    <t>core_values</t>
  </si>
  <si>
    <t>Salón 1</t>
  </si>
  <si>
    <t>project</t>
  </si>
  <si>
    <t>robot_design</t>
  </si>
  <si>
    <t>JUECES SALÓN 2</t>
  </si>
  <si>
    <t>Salón 2</t>
  </si>
  <si>
    <t>JUECES SALÓN 3</t>
  </si>
  <si>
    <t>Salón 3</t>
  </si>
  <si>
    <t>JUECES SALÓN 4</t>
  </si>
  <si>
    <t>Salón 4</t>
  </si>
  <si>
    <t>JUECES SALÓN 5</t>
  </si>
  <si>
    <t>Salón 5</t>
  </si>
  <si>
    <t>JUECES SALÓN 6</t>
  </si>
  <si>
    <t>Salón 6</t>
  </si>
  <si>
    <t>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</si>
</sst>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2" sqref="A2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1.5703125" bestFit="1" customWidth="1"/>
    <col min="4" max="4" width="37" customWidth="1"/>
    <col min="5" max="5" width="123.5703125" customWidth="1"/>
  </cols>
  <sheetData>
    <row r="1" spans="1: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0</v>
      </c>
    </row>
    <row r="2" spans="1:5" x14ac:dyDescent="0.25">
      <c r="A2" t="s">
        <v>10</v>
      </c>
      <c r="B2" t="s">
        <v>11</v>
      </c>
      <c r="C2">
        <f>SELECT!$B$2</f>
        <v>2</v>
      </c>
      <c r="D2" t="s">
        <v>12</v>
      </c>
      <c r="E2" s="1" t="str">
        <f>"INSERT INTO "&amp;SELECT!$A$2&amp;" ("&amp;$A$1&amp;", "&amp;$B$1&amp;", "&amp;$C$1&amp;", "&amp;$D$1&amp;") VALUES ('"&amp;A2&amp;"', '"&amp;B2&amp;"', "&amp;C2&amp;", '"&amp;D2&amp;"');"</f>
        <v>INSERT INTO judges (id, category, tournament, station) VALUES ('JUECES SALÓN 1', 'core_values', 2, 'Salón 1');</v>
      </c>
    </row>
    <row r="3" spans="1:5" x14ac:dyDescent="0.25">
      <c r="A3" t="s">
        <v>10</v>
      </c>
      <c r="B3" t="s">
        <v>13</v>
      </c>
      <c r="C3" s="3">
        <f>SELECT!$B$2</f>
        <v>2</v>
      </c>
      <c r="D3" t="s">
        <v>12</v>
      </c>
      <c r="E3" s="1" t="str">
        <f>"INSERT INTO "&amp;SELECT!$A$2&amp;" ("&amp;$A$1&amp;", "&amp;$B$1&amp;", "&amp;$C$1&amp;", "&amp;$D$1&amp;") VALUES ('"&amp;A3&amp;"', '"&amp;B3&amp;"', "&amp;C3&amp;", '"&amp;D3&amp;"');"</f>
        <v>INSERT INTO judges (id, category, tournament, station) VALUES ('JUECES SALÓN 1', 'project', 2, 'Salón 1');</v>
      </c>
    </row>
    <row r="4" spans="1:5" x14ac:dyDescent="0.25">
      <c r="A4" t="s">
        <v>10</v>
      </c>
      <c r="B4" t="s">
        <v>14</v>
      </c>
      <c r="C4" s="3">
        <f>SELECT!$B$2</f>
        <v>2</v>
      </c>
      <c r="D4" t="s">
        <v>12</v>
      </c>
      <c r="E4" s="1" t="str">
        <f>"INSERT INTO "&amp;SELECT!$A$2&amp;" ("&amp;$A$1&amp;", "&amp;$B$1&amp;", "&amp;$C$1&amp;", "&amp;$D$1&amp;") VALUES ('"&amp;A4&amp;"', '"&amp;B4&amp;"', "&amp;C4&amp;", '"&amp;D4&amp;"');"</f>
        <v>INSERT INTO judges (id, category, tournament, station) VALUES ('JUECES SALÓN 1', 'robot_design', 2, 'Salón 1');</v>
      </c>
    </row>
    <row r="5" spans="1:5" x14ac:dyDescent="0.25">
      <c r="A5" t="s">
        <v>15</v>
      </c>
      <c r="B5" t="s">
        <v>11</v>
      </c>
      <c r="C5" s="3">
        <f>SELECT!$B$2</f>
        <v>2</v>
      </c>
      <c r="D5" t="s">
        <v>16</v>
      </c>
      <c r="E5" s="1" t="str">
        <f>"INSERT INTO "&amp;SELECT!$A$2&amp;" ("&amp;$A$1&amp;", "&amp;$B$1&amp;", "&amp;$C$1&amp;", "&amp;$D$1&amp;") VALUES ('"&amp;A5&amp;"', '"&amp;B5&amp;"', "&amp;C5&amp;", '"&amp;D5&amp;"');"</f>
        <v>INSERT INTO judges (id, category, tournament, station) VALUES ('JUECES SALÓN 2', 'core_values', 2, 'Salón 2');</v>
      </c>
    </row>
    <row r="6" spans="1:5" x14ac:dyDescent="0.25">
      <c r="A6" t="s">
        <v>15</v>
      </c>
      <c r="B6" t="s">
        <v>13</v>
      </c>
      <c r="C6" s="3">
        <f>SELECT!$B$2</f>
        <v>2</v>
      </c>
      <c r="D6" t="s">
        <v>16</v>
      </c>
      <c r="E6" s="1" t="str">
        <f>"INSERT INTO "&amp;SELECT!$A$2&amp;" ("&amp;$A$1&amp;", "&amp;$B$1&amp;", "&amp;$C$1&amp;", "&amp;$D$1&amp;") VALUES ('"&amp;A6&amp;"', '"&amp;B6&amp;"', "&amp;C6&amp;", '"&amp;D6&amp;"');"</f>
        <v>INSERT INTO judges (id, category, tournament, station) VALUES ('JUECES SALÓN 2', 'project', 2, 'Salón 2');</v>
      </c>
    </row>
    <row r="7" spans="1:5" x14ac:dyDescent="0.25">
      <c r="A7" t="s">
        <v>15</v>
      </c>
      <c r="B7" t="s">
        <v>14</v>
      </c>
      <c r="C7" s="3">
        <f>SELECT!$B$2</f>
        <v>2</v>
      </c>
      <c r="D7" t="s">
        <v>16</v>
      </c>
      <c r="E7" s="1" t="str">
        <f>"INSERT INTO "&amp;SELECT!$A$2&amp;" ("&amp;$A$1&amp;", "&amp;$B$1&amp;", "&amp;$C$1&amp;", "&amp;$D$1&amp;") VALUES ('"&amp;A7&amp;"', '"&amp;B7&amp;"', "&amp;C7&amp;", '"&amp;D7&amp;"');"</f>
        <v>INSERT INTO judges (id, category, tournament, station) VALUES ('JUECES SALÓN 2', 'robot_design', 2, 'Salón 2');</v>
      </c>
    </row>
    <row r="8" spans="1:5" x14ac:dyDescent="0.25">
      <c r="A8" t="s">
        <v>17</v>
      </c>
      <c r="B8" t="s">
        <v>11</v>
      </c>
      <c r="C8" s="3">
        <f>SELECT!$B$2</f>
        <v>2</v>
      </c>
      <c r="D8" t="s">
        <v>18</v>
      </c>
      <c r="E8" s="1" t="str">
        <f>"INSERT INTO "&amp;SELECT!$A$2&amp;" ("&amp;$A$1&amp;", "&amp;$B$1&amp;", "&amp;$C$1&amp;", "&amp;$D$1&amp;") VALUES ('"&amp;A8&amp;"', '"&amp;B8&amp;"', "&amp;C8&amp;", '"&amp;D8&amp;"');"</f>
        <v>INSERT INTO judges (id, category, tournament, station) VALUES ('JUECES SALÓN 3', 'core_values', 2, 'Salón 3');</v>
      </c>
    </row>
    <row r="9" spans="1:5" x14ac:dyDescent="0.25">
      <c r="A9" t="s">
        <v>17</v>
      </c>
      <c r="B9" t="s">
        <v>13</v>
      </c>
      <c r="C9" s="3">
        <f>SELECT!$B$2</f>
        <v>2</v>
      </c>
      <c r="D9" t="s">
        <v>18</v>
      </c>
      <c r="E9" s="1" t="str">
        <f>"INSERT INTO "&amp;SELECT!$A$2&amp;" ("&amp;$A$1&amp;", "&amp;$B$1&amp;", "&amp;$C$1&amp;", "&amp;$D$1&amp;") VALUES ('"&amp;A9&amp;"', '"&amp;B9&amp;"', "&amp;C9&amp;", '"&amp;D9&amp;"');"</f>
        <v>INSERT INTO judges (id, category, tournament, station) VALUES ('JUECES SALÓN 3', 'project', 2, 'Salón 3');</v>
      </c>
    </row>
    <row r="10" spans="1:5" x14ac:dyDescent="0.25">
      <c r="A10" t="s">
        <v>17</v>
      </c>
      <c r="B10" t="s">
        <v>14</v>
      </c>
      <c r="C10" s="3">
        <f>SELECT!$B$2</f>
        <v>2</v>
      </c>
      <c r="D10" t="s">
        <v>18</v>
      </c>
      <c r="E10" s="1" t="str">
        <f>"INSERT INTO "&amp;SELECT!$A$2&amp;" ("&amp;$A$1&amp;", "&amp;$B$1&amp;", "&amp;$C$1&amp;", "&amp;$D$1&amp;") VALUES ('"&amp;A10&amp;"', '"&amp;B10&amp;"', "&amp;C10&amp;", '"&amp;D10&amp;"');"</f>
        <v>INSERT INTO judges (id, category, tournament, station) VALUES ('JUECES SALÓN 3', 'robot_design', 2, 'Salón 3');</v>
      </c>
    </row>
    <row r="11" spans="1:5" x14ac:dyDescent="0.25">
      <c r="A11" t="s">
        <v>19</v>
      </c>
      <c r="B11" t="s">
        <v>11</v>
      </c>
      <c r="C11" s="3">
        <f>SELECT!$B$2</f>
        <v>2</v>
      </c>
      <c r="D11" t="s">
        <v>20</v>
      </c>
      <c r="E11" s="1" t="str">
        <f>"INSERT INTO "&amp;SELECT!$A$2&amp;" ("&amp;$A$1&amp;", "&amp;$B$1&amp;", "&amp;$C$1&amp;", "&amp;$D$1&amp;") VALUES ('"&amp;A11&amp;"', '"&amp;B11&amp;"', "&amp;C11&amp;", '"&amp;D11&amp;"');"</f>
        <v>INSERT INTO judges (id, category, tournament, station) VALUES ('JUECES SALÓN 4', 'core_values', 2, 'Salón 4');</v>
      </c>
    </row>
    <row r="12" spans="1:5" x14ac:dyDescent="0.25">
      <c r="A12" t="s">
        <v>19</v>
      </c>
      <c r="B12" t="s">
        <v>13</v>
      </c>
      <c r="C12" s="3">
        <f>SELECT!$B$2</f>
        <v>2</v>
      </c>
      <c r="D12" t="s">
        <v>20</v>
      </c>
      <c r="E12" s="1" t="str">
        <f>"INSERT INTO "&amp;SELECT!$A$2&amp;" ("&amp;$A$1&amp;", "&amp;$B$1&amp;", "&amp;$C$1&amp;", "&amp;$D$1&amp;") VALUES ('"&amp;A12&amp;"', '"&amp;B12&amp;"', "&amp;C12&amp;", '"&amp;D12&amp;"');"</f>
        <v>INSERT INTO judges (id, category, tournament, station) VALUES ('JUECES SALÓN 4', 'project', 2, 'Salón 4');</v>
      </c>
    </row>
    <row r="13" spans="1:5" x14ac:dyDescent="0.25">
      <c r="A13" t="s">
        <v>19</v>
      </c>
      <c r="B13" t="s">
        <v>14</v>
      </c>
      <c r="C13" s="3">
        <f>SELECT!$B$2</f>
        <v>2</v>
      </c>
      <c r="D13" t="s">
        <v>20</v>
      </c>
      <c r="E13" s="1" t="str">
        <f>"INSERT INTO "&amp;SELECT!$A$2&amp;" ("&amp;$A$1&amp;", "&amp;$B$1&amp;", "&amp;$C$1&amp;", "&amp;$D$1&amp;") VALUES ('"&amp;A13&amp;"', '"&amp;B13&amp;"', "&amp;C13&amp;", '"&amp;D13&amp;"');"</f>
        <v>INSERT INTO judges (id, category, tournament, station) VALUES ('JUECES SALÓN 4', 'robot_design', 2, 'Salón 4');</v>
      </c>
    </row>
    <row r="14" spans="1:5" x14ac:dyDescent="0.25">
      <c r="A14" t="s">
        <v>21</v>
      </c>
      <c r="B14" t="s">
        <v>11</v>
      </c>
      <c r="C14" s="3">
        <f>SELECT!$B$2</f>
        <v>2</v>
      </c>
      <c r="D14" t="s">
        <v>22</v>
      </c>
      <c r="E14" s="1" t="str">
        <f>"INSERT INTO "&amp;SELECT!$A$2&amp;" ("&amp;$A$1&amp;", "&amp;$B$1&amp;", "&amp;$C$1&amp;", "&amp;$D$1&amp;") VALUES ('"&amp;A14&amp;"', '"&amp;B14&amp;"', "&amp;C14&amp;", '"&amp;D14&amp;"');"</f>
        <v>INSERT INTO judges (id, category, tournament, station) VALUES ('JUECES SALÓN 5', 'core_values', 2, 'Salón 5');</v>
      </c>
    </row>
    <row r="15" spans="1:5" x14ac:dyDescent="0.25">
      <c r="A15" t="s">
        <v>21</v>
      </c>
      <c r="B15" t="s">
        <v>13</v>
      </c>
      <c r="C15" s="3">
        <f>SELECT!$B$2</f>
        <v>2</v>
      </c>
      <c r="D15" t="s">
        <v>22</v>
      </c>
      <c r="E15" s="1" t="str">
        <f>"INSERT INTO "&amp;SELECT!$A$2&amp;" ("&amp;$A$1&amp;", "&amp;$B$1&amp;", "&amp;$C$1&amp;", "&amp;$D$1&amp;") VALUES ('"&amp;A15&amp;"', '"&amp;B15&amp;"', "&amp;C15&amp;", '"&amp;D15&amp;"');"</f>
        <v>INSERT INTO judges (id, category, tournament, station) VALUES ('JUECES SALÓN 5', 'project', 2, 'Salón 5');</v>
      </c>
    </row>
    <row r="16" spans="1:5" x14ac:dyDescent="0.25">
      <c r="A16" t="s">
        <v>21</v>
      </c>
      <c r="B16" t="s">
        <v>14</v>
      </c>
      <c r="C16" s="3">
        <f>SELECT!$B$2</f>
        <v>2</v>
      </c>
      <c r="D16" t="s">
        <v>22</v>
      </c>
      <c r="E16" s="1" t="str">
        <f>"INSERT INTO "&amp;SELECT!$A$2&amp;" ("&amp;$A$1&amp;", "&amp;$B$1&amp;", "&amp;$C$1&amp;", "&amp;$D$1&amp;") VALUES ('"&amp;A16&amp;"', '"&amp;B16&amp;"', "&amp;C16&amp;", '"&amp;D16&amp;"');"</f>
        <v>INSERT INTO judges (id, category, tournament, station) VALUES ('JUECES SALÓN 5', 'robot_design', 2, 'Salón 5');</v>
      </c>
    </row>
    <row r="17" spans="1:5" x14ac:dyDescent="0.25">
      <c r="A17" t="s">
        <v>23</v>
      </c>
      <c r="B17" t="s">
        <v>11</v>
      </c>
      <c r="C17" s="3">
        <f>SELECT!$B$2</f>
        <v>2</v>
      </c>
      <c r="D17" t="s">
        <v>24</v>
      </c>
      <c r="E17" s="1" t="str">
        <f>"INSERT INTO "&amp;SELECT!$A$2&amp;" ("&amp;$A$1&amp;", "&amp;$B$1&amp;", "&amp;$C$1&amp;", "&amp;$D$1&amp;") VALUES ('"&amp;A17&amp;"', '"&amp;B17&amp;"', "&amp;C17&amp;", '"&amp;D17&amp;"');"</f>
        <v>INSERT INTO judges (id, category, tournament, station) VALUES ('JUECES SALÓN 6', 'core_values', 2, 'Salón 6');</v>
      </c>
    </row>
    <row r="18" spans="1:5" x14ac:dyDescent="0.25">
      <c r="A18" t="s">
        <v>23</v>
      </c>
      <c r="B18" t="s">
        <v>13</v>
      </c>
      <c r="C18" s="3">
        <f>SELECT!$B$2</f>
        <v>2</v>
      </c>
      <c r="D18" t="s">
        <v>24</v>
      </c>
      <c r="E18" s="1" t="str">
        <f>"INSERT INTO "&amp;SELECT!$A$2&amp;" ("&amp;$A$1&amp;", "&amp;$B$1&amp;", "&amp;$C$1&amp;", "&amp;$D$1&amp;") VALUES ('"&amp;A18&amp;"', '"&amp;B18&amp;"', "&amp;C18&amp;", '"&amp;D18&amp;"');"</f>
        <v>INSERT INTO judges (id, category, tournament, station) VALUES ('JUECES SALÓN 6', 'project', 2, 'Salón 6');</v>
      </c>
    </row>
    <row r="19" spans="1:5" x14ac:dyDescent="0.25">
      <c r="A19" t="s">
        <v>23</v>
      </c>
      <c r="B19" t="s">
        <v>14</v>
      </c>
      <c r="C19" s="3">
        <f>SELECT!$B$2</f>
        <v>2</v>
      </c>
      <c r="D19" t="s">
        <v>24</v>
      </c>
      <c r="E19" s="1" t="str">
        <f>"INSERT INTO "&amp;SELECT!$A$2&amp;" ("&amp;$A$1&amp;", "&amp;$B$1&amp;", "&amp;$C$1&amp;", "&amp;$D$1&amp;") VALUES ('"&amp;A19&amp;"', '"&amp;B19&amp;"', "&amp;C19&amp;", '"&amp;D19&amp;"');"</f>
        <v>INSERT INTO judges (id, category, tournament, station) VALUES ('JUECES SALÓN 6', 'robot_design', 2, 'Salón 6');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21" sqref="A21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1.5703125" bestFit="1" customWidth="1"/>
    <col min="4" max="4" width="37" style="3" customWidth="1"/>
    <col min="5" max="5" width="119.5703125" bestFit="1" customWidth="1"/>
  </cols>
  <sheetData>
    <row r="1" spans="1:5" x14ac:dyDescent="0.25">
      <c r="A1" s="2" t="str">
        <f>INSERT!A1</f>
        <v>id</v>
      </c>
      <c r="B1" s="2" t="str">
        <f>INSERT!B1</f>
        <v>category</v>
      </c>
      <c r="C1" s="2" t="str">
        <f>INSERT!C1</f>
        <v>tournament</v>
      </c>
      <c r="D1" s="2" t="str">
        <f>INSERT!D1</f>
        <v>station</v>
      </c>
      <c r="E1" s="2" t="s">
        <v>2</v>
      </c>
    </row>
    <row r="2" spans="1:5" x14ac:dyDescent="0.25">
      <c r="A2" t="str">
        <f>INSERT!A2</f>
        <v>JUECES SALÓN 1</v>
      </c>
      <c r="B2" t="str">
        <f>INSERT!B2</f>
        <v>core_values</v>
      </c>
      <c r="C2">
        <f>INSERT!C2</f>
        <v>2</v>
      </c>
      <c r="D2" s="3" t="str">
        <f>INSERT!D2</f>
        <v>Salón 1</v>
      </c>
      <c r="E2" t="str">
        <f>"update "&amp;SELECT!$A$2&amp;" set "&amp;$B$1&amp;" = '"&amp;B2&amp;"', "&amp;$C$1&amp;" = "&amp;C2&amp;", "&amp;$D$1&amp;" = '"&amp;D2&amp;"' where "&amp;$A$1&amp;" = '"&amp;A2&amp;"'"</f>
        <v>update judges set category = 'core_values', tournament = 2, station = 'Salón 1' where id = 'JUECES SALÓN 1'</v>
      </c>
    </row>
    <row r="3" spans="1:5" x14ac:dyDescent="0.25">
      <c r="A3" t="str">
        <f>INSERT!A3</f>
        <v>JUECES SALÓN 1</v>
      </c>
      <c r="B3" t="str">
        <f>INSERT!B3</f>
        <v>project</v>
      </c>
      <c r="C3">
        <f>INSERT!C3</f>
        <v>2</v>
      </c>
      <c r="D3" s="3" t="str">
        <f>INSERT!D3</f>
        <v>Salón 1</v>
      </c>
      <c r="E3" s="3" t="str">
        <f>"update "&amp;SELECT!$A$2&amp;" set "&amp;$B$1&amp;" = '"&amp;B3&amp;"', "&amp;$C$1&amp;" = "&amp;C3&amp;", "&amp;$D$1&amp;" = '"&amp;D3&amp;"' where "&amp;$A$1&amp;" = '"&amp;A3&amp;"'"</f>
        <v>update judges set category = 'project', tournament = 2, station = 'Salón 1' where id = 'JUECES SALÓN 1'</v>
      </c>
    </row>
    <row r="4" spans="1:5" x14ac:dyDescent="0.25">
      <c r="A4" t="str">
        <f>INSERT!A4</f>
        <v>JUECES SALÓN 1</v>
      </c>
      <c r="B4" t="str">
        <f>INSERT!B4</f>
        <v>robot_design</v>
      </c>
      <c r="C4">
        <f>INSERT!C4</f>
        <v>2</v>
      </c>
      <c r="D4" s="3" t="str">
        <f>INSERT!D4</f>
        <v>Salón 1</v>
      </c>
      <c r="E4" s="3" t="str">
        <f>"update "&amp;SELECT!$A$2&amp;" set "&amp;$B$1&amp;" = '"&amp;B4&amp;"', "&amp;$C$1&amp;" = "&amp;C4&amp;", "&amp;$D$1&amp;" = '"&amp;D4&amp;"' where "&amp;$A$1&amp;" = '"&amp;A4&amp;"'"</f>
        <v>update judges set category = 'robot_design', tournament = 2, station = 'Salón 1' where id = 'JUECES SALÓN 1'</v>
      </c>
    </row>
    <row r="5" spans="1:5" x14ac:dyDescent="0.25">
      <c r="A5" t="str">
        <f>INSERT!A5</f>
        <v>JUECES SALÓN 2</v>
      </c>
      <c r="B5" t="str">
        <f>INSERT!B5</f>
        <v>core_values</v>
      </c>
      <c r="C5">
        <f>INSERT!C5</f>
        <v>2</v>
      </c>
      <c r="D5" s="3" t="str">
        <f>INSERT!D5</f>
        <v>Salón 2</v>
      </c>
      <c r="E5" s="3" t="str">
        <f>"update "&amp;SELECT!$A$2&amp;" set "&amp;$B$1&amp;" = '"&amp;B5&amp;"', "&amp;$C$1&amp;" = "&amp;C5&amp;", "&amp;$D$1&amp;" = '"&amp;D5&amp;"' where "&amp;$A$1&amp;" = '"&amp;A5&amp;"'"</f>
        <v>update judges set category = 'core_values', tournament = 2, station = 'Salón 2' where id = 'JUECES SALÓN 2'</v>
      </c>
    </row>
    <row r="6" spans="1:5" x14ac:dyDescent="0.25">
      <c r="A6" s="3" t="str">
        <f>INSERT!A6</f>
        <v>JUECES SALÓN 2</v>
      </c>
      <c r="B6" s="3" t="str">
        <f>INSERT!B6</f>
        <v>project</v>
      </c>
      <c r="C6" s="3">
        <f>INSERT!C6</f>
        <v>2</v>
      </c>
      <c r="D6" s="3" t="str">
        <f>INSERT!D6</f>
        <v>Salón 2</v>
      </c>
      <c r="E6" s="3" t="str">
        <f>"update "&amp;SELECT!$A$2&amp;" set "&amp;$B$1&amp;" = '"&amp;B6&amp;"', "&amp;$C$1&amp;" = "&amp;C6&amp;", "&amp;$D$1&amp;" = '"&amp;D6&amp;"' where "&amp;$A$1&amp;" = '"&amp;A6&amp;"'"</f>
        <v>update judges set category = 'project', tournament = 2, station = 'Salón 2' where id = 'JUECES SALÓN 2'</v>
      </c>
    </row>
    <row r="7" spans="1:5" x14ac:dyDescent="0.25">
      <c r="A7" s="3" t="str">
        <f>INSERT!A7</f>
        <v>JUECES SALÓN 2</v>
      </c>
      <c r="B7" s="3" t="str">
        <f>INSERT!B7</f>
        <v>robot_design</v>
      </c>
      <c r="C7" s="3">
        <f>INSERT!C7</f>
        <v>2</v>
      </c>
      <c r="D7" s="3" t="str">
        <f>INSERT!D7</f>
        <v>Salón 2</v>
      </c>
      <c r="E7" s="3" t="str">
        <f>"update "&amp;SELECT!$A$2&amp;" set "&amp;$B$1&amp;" = '"&amp;B7&amp;"', "&amp;$C$1&amp;" = "&amp;C7&amp;", "&amp;$D$1&amp;" = '"&amp;D7&amp;"' where "&amp;$A$1&amp;" = '"&amp;A7&amp;"'"</f>
        <v>update judges set category = 'robot_design', tournament = 2, station = 'Salón 2' where id = 'JUECES SALÓN 2'</v>
      </c>
    </row>
    <row r="8" spans="1:5" x14ac:dyDescent="0.25">
      <c r="A8" s="3" t="str">
        <f>INSERT!A8</f>
        <v>JUECES SALÓN 3</v>
      </c>
      <c r="B8" s="3" t="str">
        <f>INSERT!B8</f>
        <v>core_values</v>
      </c>
      <c r="C8" s="3">
        <f>INSERT!C8</f>
        <v>2</v>
      </c>
      <c r="D8" s="3" t="str">
        <f>INSERT!D8</f>
        <v>Salón 3</v>
      </c>
      <c r="E8" s="3" t="str">
        <f>"update "&amp;SELECT!$A$2&amp;" set "&amp;$B$1&amp;" = '"&amp;B8&amp;"', "&amp;$C$1&amp;" = "&amp;C8&amp;", "&amp;$D$1&amp;" = '"&amp;D8&amp;"' where "&amp;$A$1&amp;" = '"&amp;A8&amp;"'"</f>
        <v>update judges set category = 'core_values', tournament = 2, station = 'Salón 3' where id = 'JUECES SALÓN 3'</v>
      </c>
    </row>
    <row r="9" spans="1:5" x14ac:dyDescent="0.25">
      <c r="A9" s="3" t="str">
        <f>INSERT!A9</f>
        <v>JUECES SALÓN 3</v>
      </c>
      <c r="B9" s="3" t="str">
        <f>INSERT!B9</f>
        <v>project</v>
      </c>
      <c r="C9" s="3">
        <f>INSERT!C9</f>
        <v>2</v>
      </c>
      <c r="D9" s="3" t="str">
        <f>INSERT!D9</f>
        <v>Salón 3</v>
      </c>
      <c r="E9" s="3" t="str">
        <f>"update "&amp;SELECT!$A$2&amp;" set "&amp;$B$1&amp;" = '"&amp;B9&amp;"', "&amp;$C$1&amp;" = "&amp;C9&amp;", "&amp;$D$1&amp;" = '"&amp;D9&amp;"' where "&amp;$A$1&amp;" = '"&amp;A9&amp;"'"</f>
        <v>update judges set category = 'project', tournament = 2, station = 'Salón 3' where id = 'JUECES SALÓN 3'</v>
      </c>
    </row>
    <row r="10" spans="1:5" x14ac:dyDescent="0.25">
      <c r="A10" s="3" t="str">
        <f>INSERT!A10</f>
        <v>JUECES SALÓN 3</v>
      </c>
      <c r="B10" s="3" t="str">
        <f>INSERT!B10</f>
        <v>robot_design</v>
      </c>
      <c r="C10" s="3">
        <f>INSERT!C10</f>
        <v>2</v>
      </c>
      <c r="D10" s="3" t="str">
        <f>INSERT!D10</f>
        <v>Salón 3</v>
      </c>
      <c r="E10" s="3" t="str">
        <f>"update "&amp;SELECT!$A$2&amp;" set "&amp;$B$1&amp;" = '"&amp;B10&amp;"', "&amp;$C$1&amp;" = "&amp;C10&amp;", "&amp;$D$1&amp;" = '"&amp;D10&amp;"' where "&amp;$A$1&amp;" = '"&amp;A10&amp;"'"</f>
        <v>update judges set category = 'robot_design', tournament = 2, station = 'Salón 3' where id = 'JUECES SALÓN 3'</v>
      </c>
    </row>
    <row r="11" spans="1:5" x14ac:dyDescent="0.25">
      <c r="A11" s="3" t="str">
        <f>INSERT!A11</f>
        <v>JUECES SALÓN 4</v>
      </c>
      <c r="B11" s="3" t="str">
        <f>INSERT!B11</f>
        <v>core_values</v>
      </c>
      <c r="C11" s="3">
        <f>INSERT!C11</f>
        <v>2</v>
      </c>
      <c r="D11" s="3" t="str">
        <f>INSERT!D11</f>
        <v>Salón 4</v>
      </c>
      <c r="E11" s="3" t="str">
        <f>"update "&amp;SELECT!$A$2&amp;" set "&amp;$B$1&amp;" = '"&amp;B11&amp;"', "&amp;$C$1&amp;" = "&amp;C11&amp;", "&amp;$D$1&amp;" = '"&amp;D11&amp;"' where "&amp;$A$1&amp;" = '"&amp;A11&amp;"'"</f>
        <v>update judges set category = 'core_values', tournament = 2, station = 'Salón 4' where id = 'JUECES SALÓN 4'</v>
      </c>
    </row>
    <row r="12" spans="1:5" x14ac:dyDescent="0.25">
      <c r="A12" s="3" t="str">
        <f>INSERT!A12</f>
        <v>JUECES SALÓN 4</v>
      </c>
      <c r="B12" s="3" t="str">
        <f>INSERT!B12</f>
        <v>project</v>
      </c>
      <c r="C12" s="3">
        <f>INSERT!C12</f>
        <v>2</v>
      </c>
      <c r="D12" s="3" t="str">
        <f>INSERT!D12</f>
        <v>Salón 4</v>
      </c>
      <c r="E12" s="3" t="str">
        <f>"update "&amp;SELECT!$A$2&amp;" set "&amp;$B$1&amp;" = '"&amp;B12&amp;"', "&amp;$C$1&amp;" = "&amp;C12&amp;", "&amp;$D$1&amp;" = '"&amp;D12&amp;"' where "&amp;$A$1&amp;" = '"&amp;A12&amp;"'"</f>
        <v>update judges set category = 'project', tournament = 2, station = 'Salón 4' where id = 'JUECES SALÓN 4'</v>
      </c>
    </row>
    <row r="13" spans="1:5" x14ac:dyDescent="0.25">
      <c r="A13" s="3" t="str">
        <f>INSERT!A13</f>
        <v>JUECES SALÓN 4</v>
      </c>
      <c r="B13" s="3" t="str">
        <f>INSERT!B13</f>
        <v>robot_design</v>
      </c>
      <c r="C13" s="3">
        <f>INSERT!C13</f>
        <v>2</v>
      </c>
      <c r="D13" s="3" t="str">
        <f>INSERT!D13</f>
        <v>Salón 4</v>
      </c>
      <c r="E13" s="3" t="str">
        <f>"update "&amp;SELECT!$A$2&amp;" set "&amp;$B$1&amp;" = '"&amp;B13&amp;"', "&amp;$C$1&amp;" = "&amp;C13&amp;", "&amp;$D$1&amp;" = '"&amp;D13&amp;"' where "&amp;$A$1&amp;" = '"&amp;A13&amp;"'"</f>
        <v>update judges set category = 'robot_design', tournament = 2, station = 'Salón 4' where id = 'JUECES SALÓN 4'</v>
      </c>
    </row>
    <row r="14" spans="1:5" x14ac:dyDescent="0.25">
      <c r="A14" s="3" t="str">
        <f>INSERT!A14</f>
        <v>JUECES SALÓN 5</v>
      </c>
      <c r="B14" s="3" t="str">
        <f>INSERT!B14</f>
        <v>core_values</v>
      </c>
      <c r="C14" s="3">
        <f>INSERT!C14</f>
        <v>2</v>
      </c>
      <c r="D14" s="3" t="str">
        <f>INSERT!D14</f>
        <v>Salón 5</v>
      </c>
      <c r="E14" s="3" t="str">
        <f>"update "&amp;SELECT!$A$2&amp;" set "&amp;$B$1&amp;" = '"&amp;B14&amp;"', "&amp;$C$1&amp;" = "&amp;C14&amp;", "&amp;$D$1&amp;" = '"&amp;D14&amp;"' where "&amp;$A$1&amp;" = '"&amp;A14&amp;"'"</f>
        <v>update judges set category = 'core_values', tournament = 2, station = 'Salón 5' where id = 'JUECES SALÓN 5'</v>
      </c>
    </row>
    <row r="15" spans="1:5" x14ac:dyDescent="0.25">
      <c r="A15" s="3" t="str">
        <f>INSERT!A15</f>
        <v>JUECES SALÓN 5</v>
      </c>
      <c r="B15" s="3" t="str">
        <f>INSERT!B15</f>
        <v>project</v>
      </c>
      <c r="C15" s="3">
        <f>INSERT!C15</f>
        <v>2</v>
      </c>
      <c r="D15" s="3" t="str">
        <f>INSERT!D15</f>
        <v>Salón 5</v>
      </c>
      <c r="E15" s="3" t="str">
        <f>"update "&amp;SELECT!$A$2&amp;" set "&amp;$B$1&amp;" = '"&amp;B15&amp;"', "&amp;$C$1&amp;" = "&amp;C15&amp;", "&amp;$D$1&amp;" = '"&amp;D15&amp;"' where "&amp;$A$1&amp;" = '"&amp;A15&amp;"'"</f>
        <v>update judges set category = 'project', tournament = 2, station = 'Salón 5' where id = 'JUECES SALÓN 5'</v>
      </c>
    </row>
    <row r="16" spans="1:5" x14ac:dyDescent="0.25">
      <c r="A16" s="3" t="str">
        <f>INSERT!A16</f>
        <v>JUECES SALÓN 5</v>
      </c>
      <c r="B16" s="3" t="str">
        <f>INSERT!B16</f>
        <v>robot_design</v>
      </c>
      <c r="C16" s="3">
        <f>INSERT!C16</f>
        <v>2</v>
      </c>
      <c r="D16" s="3" t="str">
        <f>INSERT!D16</f>
        <v>Salón 5</v>
      </c>
      <c r="E16" s="3" t="str">
        <f>"update "&amp;SELECT!$A$2&amp;" set "&amp;$B$1&amp;" = '"&amp;B16&amp;"', "&amp;$C$1&amp;" = "&amp;C16&amp;", "&amp;$D$1&amp;" = '"&amp;D16&amp;"' where "&amp;$A$1&amp;" = '"&amp;A16&amp;"'"</f>
        <v>update judges set category = 'robot_design', tournament = 2, station = 'Salón 5' where id = 'JUECES SALÓN 5'</v>
      </c>
    </row>
    <row r="17" spans="1:5" x14ac:dyDescent="0.25">
      <c r="A17" s="3" t="str">
        <f>INSERT!A17</f>
        <v>JUECES SALÓN 6</v>
      </c>
      <c r="B17" s="3" t="str">
        <f>INSERT!B17</f>
        <v>core_values</v>
      </c>
      <c r="C17" s="3">
        <f>INSERT!C17</f>
        <v>2</v>
      </c>
      <c r="D17" s="3" t="str">
        <f>INSERT!D17</f>
        <v>Salón 6</v>
      </c>
      <c r="E17" s="3" t="str">
        <f>"update "&amp;SELECT!$A$2&amp;" set "&amp;$B$1&amp;" = '"&amp;B17&amp;"', "&amp;$C$1&amp;" = "&amp;C17&amp;", "&amp;$D$1&amp;" = '"&amp;D17&amp;"' where "&amp;$A$1&amp;" = '"&amp;A17&amp;"'"</f>
        <v>update judges set category = 'core_values', tournament = 2, station = 'Salón 6' where id = 'JUECES SALÓN 6'</v>
      </c>
    </row>
    <row r="18" spans="1:5" x14ac:dyDescent="0.25">
      <c r="A18" s="3" t="str">
        <f>INSERT!A18</f>
        <v>JUECES SALÓN 6</v>
      </c>
      <c r="B18" s="3" t="str">
        <f>INSERT!B18</f>
        <v>project</v>
      </c>
      <c r="C18" s="3">
        <f>INSERT!C18</f>
        <v>2</v>
      </c>
      <c r="D18" s="3" t="str">
        <f>INSERT!D18</f>
        <v>Salón 6</v>
      </c>
      <c r="E18" s="3" t="str">
        <f>"update "&amp;SELECT!$A$2&amp;" set "&amp;$B$1&amp;" = '"&amp;B18&amp;"', "&amp;$C$1&amp;" = "&amp;C18&amp;", "&amp;$D$1&amp;" = '"&amp;D18&amp;"' where "&amp;$A$1&amp;" = '"&amp;A18&amp;"'"</f>
        <v>update judges set category = 'project', tournament = 2, station = 'Salón 6' where id = 'JUECES SALÓN 6'</v>
      </c>
    </row>
    <row r="19" spans="1:5" x14ac:dyDescent="0.25">
      <c r="A19" s="3" t="str">
        <f>INSERT!A19</f>
        <v>JUECES SALÓN 6</v>
      </c>
      <c r="B19" s="3" t="str">
        <f>INSERT!B19</f>
        <v>robot_design</v>
      </c>
      <c r="C19" s="3">
        <f>INSERT!C19</f>
        <v>2</v>
      </c>
      <c r="D19" s="3" t="str">
        <f>INSERT!D19</f>
        <v>Salón 6</v>
      </c>
      <c r="E19" s="3" t="str">
        <f>"update "&amp;SELECT!$A$2&amp;" set "&amp;$B$1&amp;" = '"&amp;B19&amp;"', "&amp;$C$1&amp;" = "&amp;C19&amp;", "&amp;$D$1&amp;" = '"&amp;D19&amp;"' where "&amp;$A$1&amp;" = '"&amp;A19&amp;"'"</f>
        <v>update judges set category = 'robot_design', tournament = 2, station = 'Salón 6' where id = 'JUECES SALÓN 6'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21" sqref="A21"/>
    </sheetView>
  </sheetViews>
  <sheetFormatPr defaultRowHeight="15" x14ac:dyDescent="0.25"/>
  <cols>
    <col min="1" max="1" width="15.140625" bestFit="1" customWidth="1"/>
    <col min="2" max="2" width="12.7109375" bestFit="1" customWidth="1"/>
    <col min="3" max="3" width="11.5703125" bestFit="1" customWidth="1"/>
    <col min="4" max="4" width="7.28515625" style="3" bestFit="1" customWidth="1"/>
    <col min="5" max="5" width="43.140625" bestFit="1" customWidth="1"/>
  </cols>
  <sheetData>
    <row r="1" spans="1:5" x14ac:dyDescent="0.25">
      <c r="A1" s="2" t="str">
        <f>INSERT!A1</f>
        <v>id</v>
      </c>
      <c r="B1" s="2" t="str">
        <f>INSERT!B1</f>
        <v>category</v>
      </c>
      <c r="C1" s="2" t="str">
        <f>INSERT!C1</f>
        <v>tournament</v>
      </c>
      <c r="D1" s="2" t="str">
        <f>INSERT!D1</f>
        <v>station</v>
      </c>
      <c r="E1" s="2" t="s">
        <v>1</v>
      </c>
    </row>
    <row r="2" spans="1:5" x14ac:dyDescent="0.25">
      <c r="A2" t="str">
        <f>INSERT!A2</f>
        <v>JUECES SALÓN 1</v>
      </c>
      <c r="B2" t="str">
        <f>INSERT!B2</f>
        <v>core_values</v>
      </c>
      <c r="C2">
        <f>INSERT!C2</f>
        <v>2</v>
      </c>
      <c r="D2" s="3" t="str">
        <f>INSERT!D2</f>
        <v>Salón 1</v>
      </c>
      <c r="E2" t="str">
        <f>"delete from "&amp;SELECT!$A$2&amp;" where "&amp;$A$1&amp;" = '"&amp;A2&amp;"'"</f>
        <v>delete from judges where id = 'JUECES SALÓN 1'</v>
      </c>
    </row>
    <row r="3" spans="1:5" x14ac:dyDescent="0.25">
      <c r="A3" t="str">
        <f>INSERT!A3</f>
        <v>JUECES SALÓN 1</v>
      </c>
      <c r="B3" t="str">
        <f>INSERT!B3</f>
        <v>project</v>
      </c>
      <c r="C3">
        <f>INSERT!C3</f>
        <v>2</v>
      </c>
      <c r="D3" s="3" t="str">
        <f>INSERT!D3</f>
        <v>Salón 1</v>
      </c>
      <c r="E3" s="3" t="str">
        <f>"delete from "&amp;SELECT!$A$2&amp;" where "&amp;$A$1&amp;" = '"&amp;A3&amp;"'"</f>
        <v>delete from judges where id = 'JUECES SALÓN 1'</v>
      </c>
    </row>
    <row r="4" spans="1:5" x14ac:dyDescent="0.25">
      <c r="A4" t="str">
        <f>INSERT!A4</f>
        <v>JUECES SALÓN 1</v>
      </c>
      <c r="B4" t="str">
        <f>INSERT!B4</f>
        <v>robot_design</v>
      </c>
      <c r="C4">
        <f>INSERT!C4</f>
        <v>2</v>
      </c>
      <c r="D4" s="3" t="str">
        <f>INSERT!D4</f>
        <v>Salón 1</v>
      </c>
      <c r="E4" s="3" t="str">
        <f>"delete from "&amp;SELECT!$A$2&amp;" where "&amp;$A$1&amp;" = '"&amp;A4&amp;"'"</f>
        <v>delete from judges where id = 'JUECES SALÓN 1'</v>
      </c>
    </row>
    <row r="5" spans="1:5" x14ac:dyDescent="0.25">
      <c r="A5" t="str">
        <f>INSERT!A5</f>
        <v>JUECES SALÓN 2</v>
      </c>
      <c r="B5" t="str">
        <f>INSERT!B5</f>
        <v>core_values</v>
      </c>
      <c r="C5">
        <f>INSERT!C5</f>
        <v>2</v>
      </c>
      <c r="D5" s="3" t="str">
        <f>INSERT!D5</f>
        <v>Salón 2</v>
      </c>
      <c r="E5" s="3" t="str">
        <f>"delete from "&amp;SELECT!$A$2&amp;" where "&amp;$A$1&amp;" = '"&amp;A5&amp;"'"</f>
        <v>delete from judges where id = 'JUECES SALÓN 2'</v>
      </c>
    </row>
    <row r="6" spans="1:5" x14ac:dyDescent="0.25">
      <c r="A6" s="3" t="str">
        <f>INSERT!A6</f>
        <v>JUECES SALÓN 2</v>
      </c>
      <c r="B6" s="3" t="str">
        <f>INSERT!B6</f>
        <v>project</v>
      </c>
      <c r="C6" s="3">
        <f>INSERT!C6</f>
        <v>2</v>
      </c>
      <c r="D6" s="3" t="str">
        <f>INSERT!D6</f>
        <v>Salón 2</v>
      </c>
      <c r="E6" s="3" t="str">
        <f>"delete from "&amp;SELECT!$A$2&amp;" where "&amp;$A$1&amp;" = '"&amp;A6&amp;"'"</f>
        <v>delete from judges where id = 'JUECES SALÓN 2'</v>
      </c>
    </row>
    <row r="7" spans="1:5" x14ac:dyDescent="0.25">
      <c r="A7" s="3" t="str">
        <f>INSERT!A7</f>
        <v>JUECES SALÓN 2</v>
      </c>
      <c r="B7" s="3" t="str">
        <f>INSERT!B7</f>
        <v>robot_design</v>
      </c>
      <c r="C7" s="3">
        <f>INSERT!C7</f>
        <v>2</v>
      </c>
      <c r="D7" s="3" t="str">
        <f>INSERT!D7</f>
        <v>Salón 2</v>
      </c>
      <c r="E7" s="3" t="str">
        <f>"delete from "&amp;SELECT!$A$2&amp;" where "&amp;$A$1&amp;" = '"&amp;A7&amp;"'"</f>
        <v>delete from judges where id = 'JUECES SALÓN 2'</v>
      </c>
    </row>
    <row r="8" spans="1:5" x14ac:dyDescent="0.25">
      <c r="A8" s="3" t="str">
        <f>INSERT!A8</f>
        <v>JUECES SALÓN 3</v>
      </c>
      <c r="B8" s="3" t="str">
        <f>INSERT!B8</f>
        <v>core_values</v>
      </c>
      <c r="C8" s="3">
        <f>INSERT!C8</f>
        <v>2</v>
      </c>
      <c r="D8" s="3" t="str">
        <f>INSERT!D8</f>
        <v>Salón 3</v>
      </c>
      <c r="E8" s="3" t="str">
        <f>"delete from "&amp;SELECT!$A$2&amp;" where "&amp;$A$1&amp;" = '"&amp;A8&amp;"'"</f>
        <v>delete from judges where id = 'JUECES SALÓN 3'</v>
      </c>
    </row>
    <row r="9" spans="1:5" x14ac:dyDescent="0.25">
      <c r="A9" s="3" t="str">
        <f>INSERT!A9</f>
        <v>JUECES SALÓN 3</v>
      </c>
      <c r="B9" s="3" t="str">
        <f>INSERT!B9</f>
        <v>project</v>
      </c>
      <c r="C9" s="3">
        <f>INSERT!C9</f>
        <v>2</v>
      </c>
      <c r="D9" s="3" t="str">
        <f>INSERT!D9</f>
        <v>Salón 3</v>
      </c>
      <c r="E9" s="3" t="str">
        <f>"delete from "&amp;SELECT!$A$2&amp;" where "&amp;$A$1&amp;" = '"&amp;A9&amp;"'"</f>
        <v>delete from judges where id = 'JUECES SALÓN 3'</v>
      </c>
    </row>
    <row r="10" spans="1:5" x14ac:dyDescent="0.25">
      <c r="A10" s="3" t="str">
        <f>INSERT!A10</f>
        <v>JUECES SALÓN 3</v>
      </c>
      <c r="B10" s="3" t="str">
        <f>INSERT!B10</f>
        <v>robot_design</v>
      </c>
      <c r="C10" s="3">
        <f>INSERT!C10</f>
        <v>2</v>
      </c>
      <c r="D10" s="3" t="str">
        <f>INSERT!D10</f>
        <v>Salón 3</v>
      </c>
      <c r="E10" s="3" t="str">
        <f>"delete from "&amp;SELECT!$A$2&amp;" where "&amp;$A$1&amp;" = '"&amp;A10&amp;"'"</f>
        <v>delete from judges where id = 'JUECES SALÓN 3'</v>
      </c>
    </row>
    <row r="11" spans="1:5" x14ac:dyDescent="0.25">
      <c r="A11" s="3" t="str">
        <f>INSERT!A11</f>
        <v>JUECES SALÓN 4</v>
      </c>
      <c r="B11" s="3" t="str">
        <f>INSERT!B11</f>
        <v>core_values</v>
      </c>
      <c r="C11" s="3">
        <f>INSERT!C11</f>
        <v>2</v>
      </c>
      <c r="D11" s="3" t="str">
        <f>INSERT!D11</f>
        <v>Salón 4</v>
      </c>
      <c r="E11" s="3" t="str">
        <f>"delete from "&amp;SELECT!$A$2&amp;" where "&amp;$A$1&amp;" = '"&amp;A11&amp;"'"</f>
        <v>delete from judges where id = 'JUECES SALÓN 4'</v>
      </c>
    </row>
    <row r="12" spans="1:5" x14ac:dyDescent="0.25">
      <c r="A12" s="3" t="str">
        <f>INSERT!A12</f>
        <v>JUECES SALÓN 4</v>
      </c>
      <c r="B12" s="3" t="str">
        <f>INSERT!B12</f>
        <v>project</v>
      </c>
      <c r="C12" s="3">
        <f>INSERT!C12</f>
        <v>2</v>
      </c>
      <c r="D12" s="3" t="str">
        <f>INSERT!D12</f>
        <v>Salón 4</v>
      </c>
      <c r="E12" s="3" t="str">
        <f>"delete from "&amp;SELECT!$A$2&amp;" where "&amp;$A$1&amp;" = '"&amp;A12&amp;"'"</f>
        <v>delete from judges where id = 'JUECES SALÓN 4'</v>
      </c>
    </row>
    <row r="13" spans="1:5" x14ac:dyDescent="0.25">
      <c r="A13" s="3" t="str">
        <f>INSERT!A13</f>
        <v>JUECES SALÓN 4</v>
      </c>
      <c r="B13" s="3" t="str">
        <f>INSERT!B13</f>
        <v>robot_design</v>
      </c>
      <c r="C13" s="3">
        <f>INSERT!C13</f>
        <v>2</v>
      </c>
      <c r="D13" s="3" t="str">
        <f>INSERT!D13</f>
        <v>Salón 4</v>
      </c>
      <c r="E13" s="3" t="str">
        <f>"delete from "&amp;SELECT!$A$2&amp;" where "&amp;$A$1&amp;" = '"&amp;A13&amp;"'"</f>
        <v>delete from judges where id = 'JUECES SALÓN 4'</v>
      </c>
    </row>
    <row r="14" spans="1:5" x14ac:dyDescent="0.25">
      <c r="A14" s="3" t="str">
        <f>INSERT!A14</f>
        <v>JUECES SALÓN 5</v>
      </c>
      <c r="B14" s="3" t="str">
        <f>INSERT!B14</f>
        <v>core_values</v>
      </c>
      <c r="C14" s="3">
        <f>INSERT!C14</f>
        <v>2</v>
      </c>
      <c r="D14" s="3" t="str">
        <f>INSERT!D14</f>
        <v>Salón 5</v>
      </c>
      <c r="E14" s="3" t="str">
        <f>"delete from "&amp;SELECT!$A$2&amp;" where "&amp;$A$1&amp;" = '"&amp;A14&amp;"'"</f>
        <v>delete from judges where id = 'JUECES SALÓN 5'</v>
      </c>
    </row>
    <row r="15" spans="1:5" x14ac:dyDescent="0.25">
      <c r="A15" s="3" t="str">
        <f>INSERT!A15</f>
        <v>JUECES SALÓN 5</v>
      </c>
      <c r="B15" s="3" t="str">
        <f>INSERT!B15</f>
        <v>project</v>
      </c>
      <c r="C15" s="3">
        <f>INSERT!C15</f>
        <v>2</v>
      </c>
      <c r="D15" s="3" t="str">
        <f>INSERT!D15</f>
        <v>Salón 5</v>
      </c>
      <c r="E15" s="3" t="str">
        <f>"delete from "&amp;SELECT!$A$2&amp;" where "&amp;$A$1&amp;" = '"&amp;A15&amp;"'"</f>
        <v>delete from judges where id = 'JUECES SALÓN 5'</v>
      </c>
    </row>
    <row r="16" spans="1:5" x14ac:dyDescent="0.25">
      <c r="A16" s="3" t="str">
        <f>INSERT!A16</f>
        <v>JUECES SALÓN 5</v>
      </c>
      <c r="B16" s="3" t="str">
        <f>INSERT!B16</f>
        <v>robot_design</v>
      </c>
      <c r="C16" s="3">
        <f>INSERT!C16</f>
        <v>2</v>
      </c>
      <c r="D16" s="3" t="str">
        <f>INSERT!D16</f>
        <v>Salón 5</v>
      </c>
      <c r="E16" s="3" t="str">
        <f>"delete from "&amp;SELECT!$A$2&amp;" where "&amp;$A$1&amp;" = '"&amp;A16&amp;"'"</f>
        <v>delete from judges where id = 'JUECES SALÓN 5'</v>
      </c>
    </row>
    <row r="17" spans="1:5" x14ac:dyDescent="0.25">
      <c r="A17" s="3" t="str">
        <f>INSERT!A17</f>
        <v>JUECES SALÓN 6</v>
      </c>
      <c r="B17" s="3" t="str">
        <f>INSERT!B17</f>
        <v>core_values</v>
      </c>
      <c r="C17" s="3">
        <f>INSERT!C17</f>
        <v>2</v>
      </c>
      <c r="D17" s="3" t="str">
        <f>INSERT!D17</f>
        <v>Salón 6</v>
      </c>
      <c r="E17" s="3" t="str">
        <f>"delete from "&amp;SELECT!$A$2&amp;" where "&amp;$A$1&amp;" = '"&amp;A17&amp;"'"</f>
        <v>delete from judges where id = 'JUECES SALÓN 6'</v>
      </c>
    </row>
    <row r="18" spans="1:5" x14ac:dyDescent="0.25">
      <c r="A18" s="3" t="str">
        <f>INSERT!A18</f>
        <v>JUECES SALÓN 6</v>
      </c>
      <c r="B18" s="3" t="str">
        <f>INSERT!B18</f>
        <v>project</v>
      </c>
      <c r="C18" s="3">
        <f>INSERT!C18</f>
        <v>2</v>
      </c>
      <c r="D18" s="3" t="str">
        <f>INSERT!D18</f>
        <v>Salón 6</v>
      </c>
      <c r="E18" s="3" t="str">
        <f>"delete from "&amp;SELECT!$A$2&amp;" where "&amp;$A$1&amp;" = '"&amp;A18&amp;"'"</f>
        <v>delete from judges where id = 'JUECES SALÓN 6'</v>
      </c>
    </row>
    <row r="19" spans="1:5" x14ac:dyDescent="0.25">
      <c r="A19" s="3" t="str">
        <f>INSERT!A19</f>
        <v>JUECES SALÓN 6</v>
      </c>
      <c r="B19" s="3" t="str">
        <f>INSERT!B19</f>
        <v>robot_design</v>
      </c>
      <c r="C19" s="3">
        <f>INSERT!C19</f>
        <v>2</v>
      </c>
      <c r="D19" s="3" t="str">
        <f>INSERT!D19</f>
        <v>Salón 6</v>
      </c>
      <c r="E19" s="3" t="str">
        <f>"delete from "&amp;SELECT!$A$2&amp;" where "&amp;$A$1&amp;" = '"&amp;A19&amp;"'"</f>
        <v>delete from judges where id = 'JUECES SALÓN 6'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9.5703125" bestFit="1" customWidth="1"/>
    <col min="3" max="3" width="44.85546875" bestFit="1" customWidth="1"/>
  </cols>
  <sheetData>
    <row r="1" spans="1:3" x14ac:dyDescent="0.25">
      <c r="A1" t="s">
        <v>4</v>
      </c>
      <c r="B1" s="3" t="s">
        <v>25</v>
      </c>
      <c r="C1" s="3" t="s">
        <v>3</v>
      </c>
    </row>
    <row r="2" spans="1:3" x14ac:dyDescent="0.25">
      <c r="A2" t="s">
        <v>5</v>
      </c>
      <c r="B2" s="3">
        <v>2</v>
      </c>
      <c r="C2" s="3" t="str">
        <f>"select * from "&amp;A2&amp;" where tournament="&amp;B2</f>
        <v>select * from judges where tournament=2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INSERT</vt:lpstr>
      <vt:lpstr>UPDATE</vt:lpstr>
      <vt:lpstr>DELETE</vt:lpstr>
      <vt:lpstr>SELECT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Lemes</dc:creator>
  <cp:lastModifiedBy>Luis Lemes</cp:lastModifiedBy>
  <dcterms:created xsi:type="dcterms:W3CDTF">2018-04-29T22:05:05Z</dcterms:created>
  <dcterms:modified xsi:type="dcterms:W3CDTF">2018-05-05T06:04:52Z</dcterms:modified>
</cp:coreProperties>
</file>