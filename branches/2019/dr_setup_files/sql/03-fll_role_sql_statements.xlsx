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68" windowWidth="20112" windowHeight="8448"/>
  </bookViews>
  <sheets>
    <sheet name="INSERT" sheetId="1" r:id="rId1"/>
    <sheet name="UPDATE" sheetId="2" r:id="rId2"/>
    <sheet name="DELETE" sheetId="3" r:id="rId3"/>
    <sheet name="SELECT" sheetId="4" r:id="rId4"/>
  </sheets>
  <calcPr calcId="144525"/>
</workbook>
</file>

<file path=xl/calcChain.xml><?xml version="1.0" encoding="utf-8"?>
<calcChain xmlns="http://schemas.openxmlformats.org/spreadsheetml/2006/main">
  <c r="C6" i="3" l="1"/>
  <c r="B6" i="3"/>
  <c r="A6" i="3"/>
  <c r="D6" i="3" s="1"/>
  <c r="C6" i="2"/>
  <c r="B6" i="2"/>
  <c r="D6" i="2" s="1"/>
  <c r="A6" i="2"/>
  <c r="D6" i="1"/>
  <c r="C1" i="3" l="1"/>
  <c r="B1" i="3"/>
  <c r="A1" i="3"/>
  <c r="C1" i="2"/>
  <c r="B1" i="2"/>
  <c r="A1" i="2"/>
  <c r="D3" i="3" l="1"/>
  <c r="D4" i="3"/>
  <c r="D5" i="3"/>
  <c r="D2" i="3"/>
  <c r="D3" i="2"/>
  <c r="D4" i="2"/>
  <c r="D5" i="2"/>
  <c r="D2" i="2"/>
  <c r="D3" i="1"/>
  <c r="D4" i="1"/>
  <c r="D5" i="1"/>
  <c r="D2" i="1"/>
  <c r="B2" i="4"/>
  <c r="C5" i="3" l="1"/>
  <c r="B5" i="3"/>
  <c r="A5" i="3"/>
  <c r="C4" i="3"/>
  <c r="B4" i="3"/>
  <c r="A4" i="3"/>
  <c r="C3" i="3"/>
  <c r="B3" i="3"/>
  <c r="A3" i="3"/>
  <c r="C2" i="3"/>
  <c r="B2" i="3"/>
  <c r="A2" i="3"/>
  <c r="A3" i="2"/>
  <c r="B3" i="2"/>
  <c r="C3" i="2"/>
  <c r="A4" i="2"/>
  <c r="B4" i="2"/>
  <c r="C4" i="2"/>
  <c r="A5" i="2"/>
  <c r="B5" i="2"/>
  <c r="C5" i="2"/>
  <c r="C2" i="2"/>
  <c r="B2" i="2"/>
  <c r="A2" i="2"/>
</calcChain>
</file>

<file path=xl/sharedStrings.xml><?xml version="1.0" encoding="utf-8"?>
<sst xmlns="http://schemas.openxmlformats.org/spreadsheetml/2006/main" count="19" uniqueCount="19">
  <si>
    <t>Administrator</t>
  </si>
  <si>
    <t>Main administrative role, has full access</t>
  </si>
  <si>
    <t>INSERT</t>
  </si>
  <si>
    <t>ScoreKeeper</t>
  </si>
  <si>
    <t>Referee</t>
  </si>
  <si>
    <t>Judge</t>
  </si>
  <si>
    <t>ScoreKeepers access</t>
  </si>
  <si>
    <t>Referees access</t>
  </si>
  <si>
    <t>Judges access</t>
  </si>
  <si>
    <t>ROLE_ID</t>
  </si>
  <si>
    <t>DELETE</t>
  </si>
  <si>
    <t>UPDATE</t>
  </si>
  <si>
    <t>ROLE_NAME</t>
  </si>
  <si>
    <t>ROLE_DESCRIPTION</t>
  </si>
  <si>
    <t>SELECT</t>
  </si>
  <si>
    <t>TABLE_NAME</t>
  </si>
  <si>
    <t>fll_role</t>
  </si>
  <si>
    <t>Guest</t>
  </si>
  <si>
    <t>Guests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</si>
</sst>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4.4" x14ac:dyDescent="0.3"/>
  <cols>
    <col min="2" max="2" width="13.44140625" bestFit="1" customWidth="1"/>
    <col min="3" max="3" width="37" bestFit="1" customWidth="1"/>
    <col min="4" max="4" width="123.5546875" customWidth="1"/>
  </cols>
  <sheetData>
    <row r="1" spans="1:4" x14ac:dyDescent="0.25">
      <c r="A1" s="2" t="s">
        <v>9</v>
      </c>
      <c r="B1" s="2" t="s">
        <v>12</v>
      </c>
      <c r="C1" s="2" t="s">
        <v>13</v>
      </c>
      <c r="D1" s="2" t="s">
        <v>2</v>
      </c>
    </row>
    <row r="2" spans="1:4" x14ac:dyDescent="0.25">
      <c r="A2">
        <v>0</v>
      </c>
      <c r="B2" t="s">
        <v>0</v>
      </c>
      <c r="C2" t="s">
        <v>1</v>
      </c>
      <c r="D2" s="1" t="str">
        <f>"INSERT INTO "&amp;SELECT!$A$2&amp;" ("&amp;$A$1&amp;", "&amp;$B$1&amp;", "&amp;$C$1&amp;") VALUES ("&amp;A2&amp;", '"&amp;B2&amp;"', '"&amp;C2&amp;"');"</f>
        <v>INSERT INTO fll_role (ROLE_ID, ROLE_NAME, ROLE_DESCRIPTION) VALUES (0, 'Administrator', 'Main administrative role, has full access');</v>
      </c>
    </row>
    <row r="3" spans="1:4" x14ac:dyDescent="0.25">
      <c r="A3">
        <v>1</v>
      </c>
      <c r="B3" t="s">
        <v>3</v>
      </c>
      <c r="C3" t="s">
        <v>6</v>
      </c>
      <c r="D3" s="1" t="str">
        <f>"INSERT INTO "&amp;SELECT!$A$2&amp;" ("&amp;$A$1&amp;", "&amp;$B$1&amp;", "&amp;$C$1&amp;") VALUES ("&amp;A3&amp;", '"&amp;B3&amp;"', '"&amp;C3&amp;"');"</f>
        <v>INSERT INTO fll_role (ROLE_ID, ROLE_NAME, ROLE_DESCRIPTION) VALUES (1, 'ScoreKeeper', 'ScoreKeepers access');</v>
      </c>
    </row>
    <row r="4" spans="1:4" x14ac:dyDescent="0.25">
      <c r="A4">
        <v>2</v>
      </c>
      <c r="B4" t="s">
        <v>4</v>
      </c>
      <c r="C4" t="s">
        <v>7</v>
      </c>
      <c r="D4" s="1" t="str">
        <f>"INSERT INTO "&amp;SELECT!$A$2&amp;" ("&amp;$A$1&amp;", "&amp;$B$1&amp;", "&amp;$C$1&amp;") VALUES ("&amp;A4&amp;", '"&amp;B4&amp;"', '"&amp;C4&amp;"');"</f>
        <v>INSERT INTO fll_role (ROLE_ID, ROLE_NAME, ROLE_DESCRIPTION) VALUES (2, 'Referee', 'Referees access');</v>
      </c>
    </row>
    <row r="5" spans="1:4" x14ac:dyDescent="0.25">
      <c r="A5">
        <v>3</v>
      </c>
      <c r="B5" t="s">
        <v>5</v>
      </c>
      <c r="C5" t="s">
        <v>8</v>
      </c>
      <c r="D5" s="1" t="str">
        <f>"INSERT INTO "&amp;SELECT!$A$2&amp;" ("&amp;$A$1&amp;", "&amp;$B$1&amp;", "&amp;$C$1&amp;") VALUES ("&amp;A5&amp;", '"&amp;B5&amp;"', '"&amp;C5&amp;"');"</f>
        <v>INSERT INTO fll_role (ROLE_ID, ROLE_NAME, ROLE_DESCRIPTION) VALUES (3, 'Judge', 'Judges access');</v>
      </c>
    </row>
    <row r="6" spans="1:4" x14ac:dyDescent="0.3">
      <c r="A6">
        <v>4</v>
      </c>
      <c r="B6" t="s">
        <v>17</v>
      </c>
      <c r="C6" t="s">
        <v>18</v>
      </c>
      <c r="D6" s="1" t="str">
        <f>"INSERT INTO "&amp;SELECT!$A$2&amp;" ("&amp;$A$1&amp;", "&amp;$B$1&amp;", "&amp;$C$1&amp;") VALUES ("&amp;A6&amp;", '"&amp;B6&amp;"', '"&amp;C6&amp;"');"</f>
        <v>INSERT INTO fll_role (ROLE_ID, ROLE_NAME, ROLE_DESCRIPTION) VALUES (4, 'Guest', 'Guests access');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6" sqref="A6:D6"/>
    </sheetView>
  </sheetViews>
  <sheetFormatPr defaultRowHeight="14.4" x14ac:dyDescent="0.3"/>
  <cols>
    <col min="2" max="2" width="13.44140625" bestFit="1" customWidth="1"/>
    <col min="3" max="3" width="37" bestFit="1" customWidth="1"/>
    <col min="4" max="4" width="119.5546875" bestFit="1" customWidth="1"/>
  </cols>
  <sheetData>
    <row r="1" spans="1:4" x14ac:dyDescent="0.25">
      <c r="A1" s="2" t="str">
        <f>INSERT!A1</f>
        <v>ROLE_ID</v>
      </c>
      <c r="B1" s="2" t="str">
        <f>INSERT!B1</f>
        <v>ROLE_NAME</v>
      </c>
      <c r="C1" s="2" t="str">
        <f>INSERT!C1</f>
        <v>ROLE_DESCRIPTION</v>
      </c>
      <c r="D1" s="2" t="s">
        <v>11</v>
      </c>
    </row>
    <row r="2" spans="1:4" x14ac:dyDescent="0.25">
      <c r="A2">
        <f>INSERT!A2</f>
        <v>0</v>
      </c>
      <c r="B2" t="str">
        <f>INSERT!B2</f>
        <v>Administrator</v>
      </c>
      <c r="C2" t="str">
        <f>INSERT!C2</f>
        <v>Main administrative role, has full access</v>
      </c>
      <c r="D2" t="str">
        <f>"update "&amp;SELECT!$A$2&amp;" set "&amp;$B$1&amp;" = '"&amp;B2&amp;"', "&amp;$C$1&amp;" = '"&amp;C2&amp;"' where "&amp;$A$1&amp;" = "&amp;A2</f>
        <v>update fll_role set ROLE_NAME = 'Administrator', ROLE_DESCRIPTION = 'Main administrative role, has full access' where ROLE_ID = 0</v>
      </c>
    </row>
    <row r="3" spans="1:4" x14ac:dyDescent="0.25">
      <c r="A3">
        <f>INSERT!A3</f>
        <v>1</v>
      </c>
      <c r="B3" t="str">
        <f>INSERT!B3</f>
        <v>ScoreKeeper</v>
      </c>
      <c r="C3" t="str">
        <f>INSERT!C3</f>
        <v>ScoreKeepers access</v>
      </c>
      <c r="D3" t="str">
        <f>"update "&amp;SELECT!$A$2&amp;" set "&amp;$B$1&amp;" = '"&amp;B3&amp;"', "&amp;$C$1&amp;" = '"&amp;C3&amp;"' where "&amp;$A$1&amp;" = "&amp;A3</f>
        <v>update fll_role set ROLE_NAME = 'ScoreKeeper', ROLE_DESCRIPTION = 'ScoreKeepers access' where ROLE_ID = 1</v>
      </c>
    </row>
    <row r="4" spans="1:4" x14ac:dyDescent="0.25">
      <c r="A4">
        <f>INSERT!A4</f>
        <v>2</v>
      </c>
      <c r="B4" t="str">
        <f>INSERT!B4</f>
        <v>Referee</v>
      </c>
      <c r="C4" t="str">
        <f>INSERT!C4</f>
        <v>Referees access</v>
      </c>
      <c r="D4" t="str">
        <f>"update "&amp;SELECT!$A$2&amp;" set "&amp;$B$1&amp;" = '"&amp;B4&amp;"', "&amp;$C$1&amp;" = '"&amp;C4&amp;"' where "&amp;$A$1&amp;" = "&amp;A4</f>
        <v>update fll_role set ROLE_NAME = 'Referee', ROLE_DESCRIPTION = 'Referees access' where ROLE_ID = 2</v>
      </c>
    </row>
    <row r="5" spans="1:4" x14ac:dyDescent="0.25">
      <c r="A5">
        <f>INSERT!A5</f>
        <v>3</v>
      </c>
      <c r="B5" t="str">
        <f>INSERT!B5</f>
        <v>Judge</v>
      </c>
      <c r="C5" t="str">
        <f>INSERT!C5</f>
        <v>Judges access</v>
      </c>
      <c r="D5" t="str">
        <f>"update "&amp;SELECT!$A$2&amp;" set "&amp;$B$1&amp;" = '"&amp;B5&amp;"', "&amp;$C$1&amp;" = '"&amp;C5&amp;"' where "&amp;$A$1&amp;" = "&amp;A5</f>
        <v>update fll_role set ROLE_NAME = 'Judge', ROLE_DESCRIPTION = 'Judges access' where ROLE_ID = 3</v>
      </c>
    </row>
    <row r="6" spans="1:4" x14ac:dyDescent="0.3">
      <c r="A6">
        <f>INSERT!A6</f>
        <v>4</v>
      </c>
      <c r="B6" t="str">
        <f>INSERT!B6</f>
        <v>Guest</v>
      </c>
      <c r="C6" t="str">
        <f>INSERT!C6</f>
        <v>Guests access</v>
      </c>
      <c r="D6" t="str">
        <f>"update "&amp;SELECT!$A$2&amp;" set "&amp;$B$1&amp;" = '"&amp;B6&amp;"', "&amp;$C$1&amp;" = '"&amp;C6&amp;"' where "&amp;$A$1&amp;" = "&amp;A6</f>
        <v>update fll_role set ROLE_NAME = 'Guest', ROLE_DESCRIPTION = 'Guests access' where ROLE_ID = 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A7" sqref="A7"/>
    </sheetView>
  </sheetViews>
  <sheetFormatPr defaultRowHeight="14.4" x14ac:dyDescent="0.3"/>
  <cols>
    <col min="2" max="2" width="13.44140625" bestFit="1" customWidth="1"/>
    <col min="3" max="3" width="37" bestFit="1" customWidth="1"/>
    <col min="4" max="4" width="35" bestFit="1" customWidth="1"/>
  </cols>
  <sheetData>
    <row r="1" spans="1:4" x14ac:dyDescent="0.25">
      <c r="A1" s="2" t="str">
        <f>INSERT!A1</f>
        <v>ROLE_ID</v>
      </c>
      <c r="B1" s="2" t="str">
        <f>INSERT!B1</f>
        <v>ROLE_NAME</v>
      </c>
      <c r="C1" s="2" t="str">
        <f>INSERT!C1</f>
        <v>ROLE_DESCRIPTION</v>
      </c>
      <c r="D1" s="2" t="s">
        <v>10</v>
      </c>
    </row>
    <row r="2" spans="1:4" x14ac:dyDescent="0.25">
      <c r="A2">
        <f>INSERT!A2</f>
        <v>0</v>
      </c>
      <c r="B2" t="str">
        <f>INSERT!B2</f>
        <v>Administrator</v>
      </c>
      <c r="C2" t="str">
        <f>INSERT!C2</f>
        <v>Main administrative role, has full access</v>
      </c>
      <c r="D2" t="str">
        <f>"delete from "&amp;SELECT!$A$2&amp;" where "&amp;$A$1&amp;" = "&amp;A2</f>
        <v>delete from fll_role where ROLE_ID = 0</v>
      </c>
    </row>
    <row r="3" spans="1:4" x14ac:dyDescent="0.25">
      <c r="A3">
        <f>INSERT!A3</f>
        <v>1</v>
      </c>
      <c r="B3" t="str">
        <f>INSERT!B3</f>
        <v>ScoreKeeper</v>
      </c>
      <c r="C3" t="str">
        <f>INSERT!C3</f>
        <v>ScoreKeepers access</v>
      </c>
      <c r="D3" t="str">
        <f>"delete from "&amp;SELECT!$A$2&amp;" where "&amp;$A$1&amp;" = "&amp;A3</f>
        <v>delete from fll_role where ROLE_ID = 1</v>
      </c>
    </row>
    <row r="4" spans="1:4" x14ac:dyDescent="0.25">
      <c r="A4">
        <f>INSERT!A4</f>
        <v>2</v>
      </c>
      <c r="B4" t="str">
        <f>INSERT!B4</f>
        <v>Referee</v>
      </c>
      <c r="C4" t="str">
        <f>INSERT!C4</f>
        <v>Referees access</v>
      </c>
      <c r="D4" t="str">
        <f>"delete from "&amp;SELECT!$A$2&amp;" where "&amp;$A$1&amp;" = "&amp;A4</f>
        <v>delete from fll_role where ROLE_ID = 2</v>
      </c>
    </row>
    <row r="5" spans="1:4" x14ac:dyDescent="0.25">
      <c r="A5">
        <f>INSERT!A5</f>
        <v>3</v>
      </c>
      <c r="B5" t="str">
        <f>INSERT!B5</f>
        <v>Judge</v>
      </c>
      <c r="C5" t="str">
        <f>INSERT!C5</f>
        <v>Judges access</v>
      </c>
      <c r="D5" t="str">
        <f>"delete from "&amp;SELECT!$A$2&amp;" where "&amp;$A$1&amp;" = "&amp;A5</f>
        <v>delete from fll_role where ROLE_ID = 3</v>
      </c>
    </row>
    <row r="6" spans="1:4" x14ac:dyDescent="0.3">
      <c r="A6">
        <f>INSERT!A6</f>
        <v>4</v>
      </c>
      <c r="B6" t="str">
        <f>INSERT!B6</f>
        <v>Guest</v>
      </c>
      <c r="C6" t="str">
        <f>INSERT!C6</f>
        <v>Guests access</v>
      </c>
      <c r="D6" t="str">
        <f>"delete from "&amp;SELECT!$A$2&amp;" where "&amp;$A$1&amp;" = "&amp;A6</f>
        <v>delete from fll_role where ROLE_ID = 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4.4" x14ac:dyDescent="0.3"/>
  <cols>
    <col min="1" max="1" width="12.6640625" bestFit="1" customWidth="1"/>
    <col min="2" max="2" width="19.5546875" bestFit="1" customWidth="1"/>
  </cols>
  <sheetData>
    <row r="1" spans="1:2" x14ac:dyDescent="0.25">
      <c r="A1" t="s">
        <v>15</v>
      </c>
      <c r="B1" t="s">
        <v>14</v>
      </c>
    </row>
    <row r="2" spans="1:2" x14ac:dyDescent="0.25">
      <c r="A2" t="s">
        <v>16</v>
      </c>
      <c r="B2" t="str">
        <f>"select * from "&amp;A2</f>
        <v>select * from fll_role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INSERT</vt:lpstr>
      <vt:lpstr>UPDATE</vt:lpstr>
      <vt:lpstr>DELETE</vt:lpstr>
      <vt:lpstr>SELECT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Lemes</dc:creator>
  <cp:lastModifiedBy>Luis Lemes</cp:lastModifiedBy>
  <dcterms:created xsi:type="dcterms:W3CDTF">2018-04-29T22:05:05Z</dcterms:created>
  <dcterms:modified xsi:type="dcterms:W3CDTF">2019-04-05T16:14:37Z</dcterms:modified>
</cp:coreProperties>
</file>